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Nina Oknyanskaya\Downloads\"/>
    </mc:Choice>
  </mc:AlternateContent>
  <xr:revisionPtr revIDLastSave="0" documentId="13_ncr:1_{C72E4CB3-E973-4E58-AE4E-DC70C6E8BA9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Учет лидов" sheetId="1" r:id="rId1"/>
    <sheet name="Итог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3" i="2"/>
  <c r="B2" i="2"/>
</calcChain>
</file>

<file path=xl/sharedStrings.xml><?xml version="1.0" encoding="utf-8"?>
<sst xmlns="http://schemas.openxmlformats.org/spreadsheetml/2006/main" count="69" uniqueCount="57">
  <si>
    <t>Дата</t>
  </si>
  <si>
    <t>Мероприятие</t>
  </si>
  <si>
    <t>Имя родителя</t>
  </si>
  <si>
    <t>Телефон</t>
  </si>
  <si>
    <t>Имя ребенка</t>
  </si>
  <si>
    <t>Возраст</t>
  </si>
  <si>
    <t>Интерес / направление</t>
  </si>
  <si>
    <t>Записан</t>
  </si>
  <si>
    <t>Пришел</t>
  </si>
  <si>
    <t>Что посетил</t>
  </si>
  <si>
    <t>Рекомендация педагога</t>
  </si>
  <si>
    <t>Что предложили</t>
  </si>
  <si>
    <t>Статус</t>
  </si>
  <si>
    <t>Следующий шаг</t>
  </si>
  <si>
    <t>Дата контакта</t>
  </si>
  <si>
    <t>Канал</t>
  </si>
  <si>
    <t>Ответственный</t>
  </si>
  <si>
    <t>Комментарий</t>
  </si>
  <si>
    <t>19.08.2026</t>
  </si>
  <si>
    <t>День открытых дверей</t>
  </si>
  <si>
    <t>Анна</t>
  </si>
  <si>
    <t>Миша</t>
  </si>
  <si>
    <t>Подготовка к школе</t>
  </si>
  <si>
    <t>Да</t>
  </si>
  <si>
    <t>Мастер-класс</t>
  </si>
  <si>
    <t>Группа 5-6 лет</t>
  </si>
  <si>
    <t>Пробное занятие</t>
  </si>
  <si>
    <t>Пришел, не купил</t>
  </si>
  <si>
    <t>Отправить расписание</t>
  </si>
  <si>
    <t>20.08.2026</t>
  </si>
  <si>
    <t>MAX</t>
  </si>
  <si>
    <t>Наталья</t>
  </si>
  <si>
    <t>Ждет школьное расписание</t>
  </si>
  <si>
    <t>Мария</t>
  </si>
  <si>
    <t>Саша</t>
  </si>
  <si>
    <t>Английский</t>
  </si>
  <si>
    <t>Нет</t>
  </si>
  <si>
    <t>Записался, не пришел</t>
  </si>
  <si>
    <t>Предложить открытый урок</t>
  </si>
  <si>
    <t>Звонок</t>
  </si>
  <si>
    <t>Елена</t>
  </si>
  <si>
    <t>Вера</t>
  </si>
  <si>
    <t>Творчество</t>
  </si>
  <si>
    <t>Творческий мастер-класс</t>
  </si>
  <si>
    <t>Абонемент</t>
  </si>
  <si>
    <t>Купил / записался</t>
  </si>
  <si>
    <t>Сопровождение нового клиента</t>
  </si>
  <si>
    <t>Показатель</t>
  </si>
  <si>
    <t>Количество</t>
  </si>
  <si>
    <t>Всего лидов</t>
  </si>
  <si>
    <t>Пришли</t>
  </si>
  <si>
    <t>Не пришли</t>
  </si>
  <si>
    <t xml:space="preserve">Купили </t>
  </si>
  <si>
    <t>Записались на пробный урок</t>
  </si>
  <si>
    <t>Пришли, но не записались никуда</t>
  </si>
  <si>
    <t>Отказ</t>
  </si>
  <si>
    <t>В работе (пока не можем определить в категории выше)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</si>
</sst>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6D3190"/>
      </patternFill>
    </fill>
    <fill>
      <patternFill patternType="solid">
        <fgColor rgb="FFE91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/>
    <xf numFmtId="0" fontId="0" fillId="0" borderId="0" xfId="0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3">
    <dxf>
      <fill>
        <patternFill patternType="solid">
          <bgColor rgb="FFFDECEC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workbookViewId="0"/>
  </sheetViews>
  <sheetFormatPr defaultRowHeight="14"/>
  <cols>
    <col min="1" max="1" width="12" customWidth="1"/>
    <col min="2" max="2" width="20" customWidth="1"/>
    <col min="3" max="3" width="16" customWidth="1"/>
    <col min="4" max="4" width="15" customWidth="1"/>
    <col min="5" max="5" width="16" customWidth="1"/>
    <col min="6" max="6" width="9" customWidth="1"/>
    <col min="7" max="7" width="22" customWidth="1"/>
    <col min="8" max="8" width="12" customWidth="1"/>
    <col min="9" max="9" width="10" customWidth="1"/>
    <col min="10" max="10" width="22" customWidth="1"/>
    <col min="11" max="11" width="26" customWidth="1"/>
    <col min="12" max="13" width="22" customWidth="1"/>
    <col min="14" max="14" width="24" customWidth="1"/>
    <col min="15" max="15" width="16" customWidth="1"/>
    <col min="16" max="16" width="14" customWidth="1"/>
    <col min="17" max="17" width="16" customWidth="1"/>
    <col min="18" max="18" width="2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">
      <c r="A2" s="2" t="s">
        <v>18</v>
      </c>
      <c r="B2" s="2" t="s">
        <v>19</v>
      </c>
      <c r="C2" s="2" t="s">
        <v>20</v>
      </c>
      <c r="D2" s="2"/>
      <c r="E2" s="2" t="s">
        <v>21</v>
      </c>
      <c r="F2" s="2">
        <v>6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  <row r="3" spans="1:18" ht="28">
      <c r="A3" s="2" t="s">
        <v>18</v>
      </c>
      <c r="B3" s="2" t="s">
        <v>19</v>
      </c>
      <c r="C3" s="2" t="s">
        <v>33</v>
      </c>
      <c r="D3" s="2"/>
      <c r="E3" s="2" t="s">
        <v>34</v>
      </c>
      <c r="F3" s="2">
        <v>7</v>
      </c>
      <c r="G3" s="2" t="s">
        <v>35</v>
      </c>
      <c r="H3" s="2" t="s">
        <v>23</v>
      </c>
      <c r="I3" s="2" t="s">
        <v>36</v>
      </c>
      <c r="J3" s="2"/>
      <c r="K3" s="2"/>
      <c r="L3" s="2"/>
      <c r="M3" s="2" t="s">
        <v>37</v>
      </c>
      <c r="N3" s="2" t="s">
        <v>38</v>
      </c>
      <c r="O3" s="2" t="s">
        <v>29</v>
      </c>
      <c r="P3" s="2" t="s">
        <v>39</v>
      </c>
      <c r="Q3" s="2" t="s">
        <v>31</v>
      </c>
      <c r="R3" s="2"/>
    </row>
    <row r="4" spans="1:18" ht="28">
      <c r="A4" s="2" t="s">
        <v>18</v>
      </c>
      <c r="B4" s="2" t="s">
        <v>19</v>
      </c>
      <c r="C4" s="2" t="s">
        <v>40</v>
      </c>
      <c r="D4" s="2"/>
      <c r="E4" s="2" t="s">
        <v>41</v>
      </c>
      <c r="F4" s="2">
        <v>5</v>
      </c>
      <c r="G4" s="2" t="s">
        <v>42</v>
      </c>
      <c r="H4" s="2" t="s">
        <v>23</v>
      </c>
      <c r="I4" s="2" t="s">
        <v>23</v>
      </c>
      <c r="J4" s="2" t="s">
        <v>43</v>
      </c>
      <c r="K4" s="2" t="s">
        <v>25</v>
      </c>
      <c r="L4" s="2" t="s">
        <v>44</v>
      </c>
      <c r="M4" s="2" t="s">
        <v>45</v>
      </c>
      <c r="N4" s="2" t="s">
        <v>46</v>
      </c>
      <c r="O4" s="2"/>
      <c r="P4" s="2"/>
      <c r="Q4" s="2" t="s">
        <v>31</v>
      </c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</sheetData>
  <conditionalFormatting sqref="M2:M200">
    <cfRule type="expression" dxfId="2" priority="1">
      <formula>M2="Купил / записался"</formula>
    </cfRule>
    <cfRule type="expression" dxfId="1" priority="2">
      <formula>M2="Пришел, не купил"</formula>
    </cfRule>
    <cfRule type="expression" dxfId="0" priority="3">
      <formula>M2="Записался, не пришел"</formula>
    </cfRule>
  </conditionalFormatting>
  <dataValidations count="3">
    <dataValidation type="list" sqref="H2:I200" xr:uid="{00000000-0002-0000-0000-000000000000}">
      <formula1>"Да,Нет"</formula1>
    </dataValidation>
    <dataValidation type="list" sqref="M2:M200" xr:uid="{00000000-0002-0000-0000-000002000000}">
      <formula1>"Купил / записался,Пришел, не купил,Записался, не пришел,Интересовался, не записался,В работе,Неактуально"</formula1>
    </dataValidation>
    <dataValidation type="list" sqref="P2:P200" xr:uid="{00000000-0002-0000-0000-000003000000}">
      <formula1>"Звонок,SMS,MAX,Telegram,WhatsApp,VK,Email"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17" sqref="B17"/>
    </sheetView>
  </sheetViews>
  <sheetFormatPr defaultRowHeight="14"/>
  <cols>
    <col min="1" max="1" width="28" customWidth="1"/>
    <col min="2" max="2" width="14" customWidth="1"/>
  </cols>
  <sheetData>
    <row r="1" spans="1:2">
      <c r="A1" s="3" t="s">
        <v>47</v>
      </c>
      <c r="B1" s="3" t="s">
        <v>48</v>
      </c>
    </row>
    <row r="2" spans="1:2">
      <c r="A2" t="s">
        <v>49</v>
      </c>
      <c r="B2">
        <f>COUNTA('Учет лидов'!C2:C200)</f>
        <v>3</v>
      </c>
    </row>
    <row r="3" spans="1:2">
      <c r="A3" t="s">
        <v>50</v>
      </c>
      <c r="B3">
        <f>COUNTIF('Учет лидов'!I2:I200,"Да")</f>
        <v>2</v>
      </c>
    </row>
    <row r="4" spans="1:2">
      <c r="A4" t="s">
        <v>52</v>
      </c>
    </row>
    <row r="5" spans="1:2">
      <c r="A5" t="s">
        <v>53</v>
      </c>
      <c r="B5">
        <f>COUNTIF('Учет лидов'!M2:M200,"Купил / записался")</f>
        <v>1</v>
      </c>
    </row>
    <row r="6" spans="1:2">
      <c r="A6" t="s">
        <v>54</v>
      </c>
      <c r="B6">
        <f>COUNTIF('Учет лидов'!M2:M200,"Пришел, не купил")</f>
        <v>1</v>
      </c>
    </row>
    <row r="7" spans="1:2">
      <c r="A7" t="s">
        <v>51</v>
      </c>
      <c r="B7">
        <f>COUNTIF('Учет лидов'!M2:M200,"Записался, не пришел")</f>
        <v>1</v>
      </c>
    </row>
    <row r="8" spans="1:2" ht="28">
      <c r="A8" s="4" t="s">
        <v>56</v>
      </c>
      <c r="B8">
        <f>COUNTIF('Учет лидов'!M2:M200,"В работе")</f>
        <v>0</v>
      </c>
    </row>
    <row r="9" spans="1:2">
      <c r="A9" t="s">
        <v>55</v>
      </c>
      <c r="B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Учет лидов</vt:lpstr>
      <vt:lpstr>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Oknyanskaya</cp:lastModifiedBy>
  <dcterms:modified xsi:type="dcterms:W3CDTF">2026-08-19T11:16:51Z</dcterms:modified>
</cp:coreProperties>
</file>